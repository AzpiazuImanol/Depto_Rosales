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úmeros y ROI" sheetId="2" state="visible" r:id="rId2"/>
    <sheet name="Negociación Cinthia" sheetId="3" state="visible" r:id="rId3"/>
    <sheet name="Comparables" sheetId="4" state="visible" r:id="rId4"/>
    <sheet name="Checklist" sheetId="5" state="visible" r:id="rId5"/>
    <sheet name="Timeline" sheetId="6" state="visible" r:id="rId6"/>
    <sheet name="Honorarios Franco" sheetId="7" state="visible" r:id="rId7"/>
    <sheet name="Contactos" sheetId="8" state="visible" r:id="rId8"/>
    <sheet name="Documentació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6B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B25E00"/>
      <sz val="10"/>
    </font>
    <font>
      <name val="Arial"/>
      <b val="1"/>
      <color rgb="00000000"/>
      <sz val="11"/>
    </font>
    <font>
      <name val="Arial"/>
      <b val="1"/>
      <color rgb="001E7A44"/>
      <sz val="10"/>
    </font>
    <font>
      <name val="Arial"/>
      <b val="1"/>
      <color rgb="00000000"/>
      <sz val="9"/>
    </font>
    <font>
      <name val="Arial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FA3"/>
      </patternFill>
    </fill>
    <fill>
      <patternFill patternType="solid">
        <fgColor rgb="00F3F6FB"/>
      </patternFill>
    </fill>
    <fill>
      <patternFill patternType="solid">
        <fgColor rgb="00FFFFFF"/>
      </patternFill>
    </fill>
    <fill>
      <patternFill patternType="solid">
        <fgColor rgb="001E7A44"/>
      </patternFill>
    </fill>
    <fill>
      <patternFill patternType="solid">
        <fgColor rgb="006B6B6B"/>
      </patternFill>
    </fill>
    <fill>
      <patternFill patternType="solid">
        <fgColor rgb="00FBEBD3"/>
      </patternFill>
    </fill>
    <fill>
      <patternFill patternType="solid">
        <fgColor rgb="00B25E00"/>
      </patternFill>
    </fill>
    <fill>
      <patternFill patternType="solid">
        <fgColor rgb="00DFF0E4"/>
      </patternFill>
    </fill>
    <fill>
      <patternFill patternType="solid">
        <fgColor rgb="00F7DCDC"/>
      </patternFill>
    </fill>
  </fills>
  <borders count="6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1" fontId="7" fillId="5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6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6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18" customWidth="1" min="4" max="4"/>
  </cols>
  <sheetData>
    <row r="1" ht="30" customHeight="1">
      <c r="A1" s="1" t="inlineStr">
        <is>
          <t>Campaña de Alquiler · Rosales 2620 — Torre Jacarandá, 14º J1</t>
        </is>
      </c>
    </row>
    <row r="2" ht="16" customHeight="1">
      <c r="A2" s="2" t="inlineStr">
        <is>
          <t>Documento vivo · Última actualización: 14-jul-2026 · Objetivo: financiar el costo de vida durante el MBA en Cambridge con la renta, sin tocar ahorros.</t>
        </is>
      </c>
    </row>
    <row r="3" ht="22" customHeight="1">
      <c r="A3" s="3" t="inlineStr">
        <is>
          <t>Situación en una línea</t>
        </is>
      </c>
    </row>
    <row r="4" ht="28" customHeight="1">
      <c r="A4" s="4" t="inlineStr">
        <is>
          <t>•  Nos mudamos a Inglaterra el 25-ago-2026 (MBA en Cambridge). El depto está terminado, amueblado y listo para mostrar.</t>
        </is>
      </c>
    </row>
    <row r="5" ht="28" customHeight="1">
      <c r="A5" s="4" t="inlineStr">
        <is>
          <t>•  Decisión tomada: ALQUILAR (amoblado, en USD). La venta queda como plan B / referencia de valor.</t>
        </is>
      </c>
    </row>
    <row r="6" ht="28" customHeight="1">
      <c r="A6" s="4" t="inlineStr">
        <is>
          <t>•  Estructura fiscal elegida: A (mamá propietaria y locadora + donaciones al hijo). Se descarta el usufructo.</t>
        </is>
      </c>
    </row>
    <row r="7" ht="28" customHeight="1">
      <c r="A7" s="4" t="inlineStr">
        <is>
          <t>•  Vía preferida de inquilino: Cinthia (piso 15 del mismo edificio) — trato directo, en negociación. Publicación en paralelo con Franco.</t>
        </is>
      </c>
    </row>
    <row r="9" ht="22" customHeight="1">
      <c r="A9" s="3" t="inlineStr">
        <is>
          <t>Ficha del inmueble</t>
        </is>
      </c>
    </row>
    <row r="10" ht="26" customHeight="1">
      <c r="A10" s="5" t="inlineStr">
        <is>
          <t>Dato</t>
        </is>
      </c>
      <c r="B10" s="5" t="inlineStr">
        <is>
          <t>Detalle</t>
        </is>
      </c>
      <c r="C10" s="6" t="n"/>
      <c r="D10" s="7" t="n"/>
    </row>
    <row r="11">
      <c r="A11" s="8" t="inlineStr">
        <is>
          <t>Dirección</t>
        </is>
      </c>
      <c r="B11" s="9" t="inlineStr">
        <is>
          <t>Rosales 2620, Torre Jacarandá — Olivos, Vicente López (zona «La Isla»)</t>
        </is>
      </c>
    </row>
    <row r="12">
      <c r="A12" s="10" t="inlineStr">
        <is>
          <t>Unidad</t>
        </is>
      </c>
      <c r="B12" s="11" t="inlineStr">
        <is>
          <t>UF 53 · Piso 14 · 14-J1</t>
        </is>
      </c>
    </row>
    <row r="13">
      <c r="A13" s="8" t="inlineStr">
        <is>
          <t>Tipología</t>
        </is>
      </c>
      <c r="B13" s="9" t="inlineStr">
        <is>
          <t>4 ambientes (3 dorm., suite ppal) · 3 baños · lavadero</t>
        </is>
      </c>
    </row>
    <row r="14">
      <c r="A14" s="10" t="inlineStr">
        <is>
          <t>Superficie</t>
        </is>
      </c>
      <c r="B14" s="11" t="inlineStr">
        <is>
          <t>110,09 m² (98,77 cubiertos + 3,28 semicub. + 8,04 balcón)</t>
        </is>
      </c>
    </row>
    <row r="15">
      <c r="A15" s="8" t="inlineStr">
        <is>
          <t>Cochera + baulera</t>
        </is>
      </c>
      <c r="B15" s="9" t="inlineStr">
        <is>
          <t>Cochera cubierta 17,06 m² (Unidad Complementaria FV), con baulera</t>
        </is>
      </c>
    </row>
    <row r="16">
      <c r="A16" s="10" t="inlineStr">
        <is>
          <t>Orientación</t>
        </is>
      </c>
      <c r="B16" s="11" t="inlineStr">
        <is>
          <t>Sur-Este · balcón corrido ~6 m a calle Matías Sturiza</t>
        </is>
      </c>
    </row>
    <row r="17">
      <c r="A17" s="8" t="inlineStr">
        <is>
          <t>Edificio</t>
        </is>
      </c>
      <c r="B17" s="9" t="inlineStr">
        <is>
          <t>Complejo Parque Olivos (2 torres, ~2001): parque, pileta, gimnasio, SUM, seguridad 24 h</t>
        </is>
      </c>
    </row>
    <row r="18">
      <c r="A18" s="10" t="inlineStr">
        <is>
          <t>Estado</t>
        </is>
      </c>
      <c r="B18" s="11" t="inlineStr">
        <is>
          <t>Muy bueno, listo para habitar</t>
        </is>
      </c>
    </row>
    <row r="19">
      <c r="A19" s="8" t="inlineStr">
        <is>
          <t>Expensas</t>
        </is>
      </c>
      <c r="B19" s="9" t="inlineStr">
        <is>
          <t>≈ AR$ 613.000/mes (abr-2026) ≈ US$ 405</t>
        </is>
      </c>
    </row>
    <row r="21" ht="22" customHeight="1">
      <c r="A21" s="12" t="inlineStr">
        <is>
          <t>Números clave (Franco · 11-jul-2026)</t>
        </is>
      </c>
    </row>
    <row r="22" ht="26" customHeight="1">
      <c r="A22" s="13" t="inlineStr">
        <is>
          <t>Concepto</t>
        </is>
      </c>
      <c r="B22" s="13" t="inlineStr">
        <is>
          <t>Valor</t>
        </is>
      </c>
      <c r="C22" s="13" t="inlineStr">
        <is>
          <t>Nota</t>
        </is>
      </c>
      <c r="D22" s="7" t="n"/>
    </row>
    <row r="23">
      <c r="A23" s="8" t="inlineStr">
        <is>
          <t>Alquiler amoblado sugerido</t>
        </is>
      </c>
      <c r="B23" s="8" t="inlineStr">
        <is>
          <t>US$ 3.100 / mes</t>
        </is>
      </c>
      <c r="C23" s="9" t="inlineStr">
        <is>
          <t>banda 3.000–3.200</t>
        </is>
      </c>
    </row>
    <row r="24">
      <c r="A24" s="10" t="inlineStr">
        <is>
          <t>All-in del inquilino</t>
        </is>
      </c>
      <c r="B24" s="10" t="inlineStr">
        <is>
          <t>≈ US$ 3.550 / mes</t>
        </is>
      </c>
      <c r="C24" s="11" t="inlineStr">
        <is>
          <t>alquiler + expensas ~405 + ABL ~45</t>
        </is>
      </c>
    </row>
    <row r="25">
      <c r="A25" s="8" t="inlineStr">
        <is>
          <t>Renta bruta anual</t>
        </is>
      </c>
      <c r="B25" s="8" t="inlineStr">
        <is>
          <t>≈ 12%</t>
        </is>
      </c>
      <c r="C25" s="9" t="inlineStr">
        <is>
          <t>sobre valor de venta ~US$ 310k</t>
        </is>
      </c>
    </row>
    <row r="26">
      <c r="A26" s="10" t="inlineStr">
        <is>
          <t>Depósito sugerido</t>
        </is>
      </c>
      <c r="B26" s="10" t="inlineStr">
        <is>
          <t>2 meses</t>
        </is>
      </c>
      <c r="C26" s="11" t="inlineStr">
        <is>
          <t>por el valor del mobiliario</t>
        </is>
      </c>
    </row>
    <row r="27">
      <c r="A27" s="8" t="inlineStr">
        <is>
          <t>Banda de valuación (activo)</t>
        </is>
      </c>
      <c r="B27" s="8" t="inlineStr">
        <is>
          <t>US$ 310.000 – 350.000</t>
        </is>
      </c>
      <c r="C27" s="9" t="inlineStr">
        <is>
          <t>consensuada con la familia + Franco</t>
        </is>
      </c>
    </row>
    <row r="28">
      <c r="A28" s="10" t="inlineStr">
        <is>
          <t>Referencia de mercado</t>
        </is>
      </c>
      <c r="B28" s="10" t="inlineStr">
        <is>
          <t>US$ 3.200 se coloca en 5–12 días</t>
        </is>
      </c>
      <c r="C28" s="11" t="inlineStr">
        <is>
          <t>US$ 3.400 lleva 143 días sin colocarse</t>
        </is>
      </c>
    </row>
    <row r="30" ht="22" customHeight="1">
      <c r="A30" s="14" t="inlineStr">
        <is>
          <t>Índice de pestañas</t>
        </is>
      </c>
    </row>
    <row r="31" ht="26" customHeight="1">
      <c r="A31" s="15" t="inlineStr">
        <is>
          <t>Pestaña</t>
        </is>
      </c>
      <c r="B31" s="15" t="inlineStr">
        <is>
          <t>Qué contiene</t>
        </is>
      </c>
      <c r="C31" s="6" t="n"/>
      <c r="D31" s="7" t="n"/>
    </row>
    <row r="32">
      <c r="A32" s="8" t="inlineStr">
        <is>
          <t>Números y ROI</t>
        </is>
      </c>
      <c r="B32" s="9" t="inlineStr">
        <is>
          <t>Calculadora: alquiler → renta anual → ROI a distintas valuaciones + all-in del inquilino</t>
        </is>
      </c>
    </row>
    <row r="33">
      <c r="A33" s="10" t="inlineStr">
        <is>
          <t>Negociación Cinthia</t>
        </is>
      </c>
      <c r="B33" s="11" t="inlineStr">
        <is>
          <t>Ancla→Oferta→Piso, plazo, seguro de caución, ROI, checklist de cierre</t>
        </is>
      </c>
    </row>
    <row r="34">
      <c r="A34" s="8" t="inlineStr">
        <is>
          <t>Comparables</t>
        </is>
      </c>
      <c r="B34" s="9" t="inlineStr">
        <is>
          <t>Triangulación de referencias de precio (Toyota, Franco, hermano) + benchmark corporativo</t>
        </is>
      </c>
    </row>
    <row r="35">
      <c r="A35" s="10" t="inlineStr">
        <is>
          <t>Checklist</t>
        </is>
      </c>
      <c r="B35" s="11" t="inlineStr">
        <is>
          <t>Plan de ejecución A–E con estado, prioridad y responsable</t>
        </is>
      </c>
    </row>
    <row r="36">
      <c r="A36" s="8" t="inlineStr">
        <is>
          <t>Timeline</t>
        </is>
      </c>
      <c r="B36" s="9" t="inlineStr">
        <is>
          <t>Hitos hasta el vuelo (25-ago-2026)</t>
        </is>
      </c>
    </row>
    <row r="37">
      <c r="A37" s="10" t="inlineStr">
        <is>
          <t>Honorarios Franco</t>
        </is>
      </c>
      <c r="B37" s="11" t="inlineStr">
        <is>
          <t>Escenarios de fee y comparación con el estándar del mercado</t>
        </is>
      </c>
    </row>
    <row r="38">
      <c r="A38" s="8" t="inlineStr">
        <is>
          <t>Contactos</t>
        </is>
      </c>
      <c r="B38" s="9" t="inlineStr">
        <is>
          <t>Broker, escribano, contador, asesor UK</t>
        </is>
      </c>
    </row>
    <row r="39">
      <c r="A39" s="10" t="inlineStr">
        <is>
          <t>Documentación</t>
        </is>
      </c>
      <c r="B39" s="11" t="inlineStr">
        <is>
          <t>Inventario de archivos en Google Drive</t>
        </is>
      </c>
    </row>
  </sheetData>
  <mergeCells count="36">
    <mergeCell ref="A5:D5"/>
    <mergeCell ref="B11:D11"/>
    <mergeCell ref="B14:D14"/>
    <mergeCell ref="C24:D24"/>
    <mergeCell ref="A4:D4"/>
    <mergeCell ref="B17:D17"/>
    <mergeCell ref="B13:D13"/>
    <mergeCell ref="C26:D26"/>
    <mergeCell ref="B38:D38"/>
    <mergeCell ref="B34:D34"/>
    <mergeCell ref="B10:D10"/>
    <mergeCell ref="A9:D9"/>
    <mergeCell ref="B19:D19"/>
    <mergeCell ref="B37:D37"/>
    <mergeCell ref="C25:D25"/>
    <mergeCell ref="A30:D30"/>
    <mergeCell ref="C22:D22"/>
    <mergeCell ref="B15:D15"/>
    <mergeCell ref="B33:D33"/>
    <mergeCell ref="A1:D1"/>
    <mergeCell ref="B36:D36"/>
    <mergeCell ref="A6:D6"/>
    <mergeCell ref="C27:D27"/>
    <mergeCell ref="B32:D32"/>
    <mergeCell ref="B35:D35"/>
    <mergeCell ref="A7:D7"/>
    <mergeCell ref="C23:D23"/>
    <mergeCell ref="B16:D16"/>
    <mergeCell ref="B31:D31"/>
    <mergeCell ref="A3:D3"/>
    <mergeCell ref="A21:D21"/>
    <mergeCell ref="B18:D18"/>
    <mergeCell ref="C28:D28"/>
    <mergeCell ref="A2:D2"/>
    <mergeCell ref="B12:D12"/>
    <mergeCell ref="B39:D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0" customHeight="1">
      <c r="A1" s="1" t="inlineStr">
        <is>
          <t>Números y ROI</t>
        </is>
      </c>
    </row>
    <row r="2" ht="16" customHeight="1">
      <c r="A2" s="2" t="inlineStr">
        <is>
          <t>Celdas AZULES = inputs / palancas editables. Todo lo demás se recalcula solo. Fuente: docs 04 y 05.</t>
        </is>
      </c>
    </row>
    <row r="3" ht="22" customHeight="1">
      <c r="A3" s="3" t="inlineStr">
        <is>
          <t>Supuestos (editar acá)</t>
        </is>
      </c>
    </row>
    <row r="4" ht="26" customHeight="1">
      <c r="A4" s="5" t="inlineStr">
        <is>
          <t>Supuesto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Fuente / nota</t>
        </is>
      </c>
      <c r="E4" s="6" t="n"/>
      <c r="F4" s="7" t="n"/>
    </row>
    <row r="5">
      <c r="A5" s="8" t="inlineStr">
        <is>
          <t>Valuación del activo — baja</t>
        </is>
      </c>
      <c r="B5" s="16" t="n">
        <v>310000</v>
      </c>
      <c r="C5" s="17" t="inlineStr">
        <is>
          <t>USD</t>
        </is>
      </c>
      <c r="D5" s="9" t="inlineStr">
        <is>
          <t>Banda consensuada (doc 04)</t>
        </is>
      </c>
    </row>
    <row r="6">
      <c r="A6" s="10" t="inlineStr">
        <is>
          <t>Valuación del activo — alta</t>
        </is>
      </c>
      <c r="B6" s="18" t="n">
        <v>350000</v>
      </c>
      <c r="C6" s="19" t="inlineStr">
        <is>
          <t>USD</t>
        </is>
      </c>
      <c r="D6" s="11" t="inlineStr">
        <is>
          <t>Banda consensuada (doc 04)</t>
        </is>
      </c>
    </row>
    <row r="7">
      <c r="A7" s="8" t="inlineStr">
        <is>
          <t>Expensas</t>
        </is>
      </c>
      <c r="B7" s="16" t="n">
        <v>405</v>
      </c>
      <c r="C7" s="17" t="inlineStr">
        <is>
          <t>USD/mes</t>
        </is>
      </c>
      <c r="D7" s="9" t="inlineStr">
        <is>
          <t>Liquidación abr-2026 (~AR$613k)</t>
        </is>
      </c>
    </row>
    <row r="8">
      <c r="A8" s="10" t="inlineStr">
        <is>
          <t>ABL (estimado)</t>
        </is>
      </c>
      <c r="B8" s="18" t="n">
        <v>45</v>
      </c>
      <c r="C8" s="19" t="inlineStr">
        <is>
          <t>USD/mes</t>
        </is>
      </c>
      <c r="D8" s="11" t="inlineStr">
        <is>
          <t>A confirmar con boleta</t>
        </is>
      </c>
    </row>
    <row r="9">
      <c r="A9" s="8" t="inlineStr">
        <is>
          <t>Plazo del contrato</t>
        </is>
      </c>
      <c r="B9" s="20" t="n">
        <v>24</v>
      </c>
      <c r="C9" s="17" t="inlineStr">
        <is>
          <t>meses</t>
        </is>
      </c>
      <c r="D9" s="9" t="inlineStr">
        <is>
          <t>Contrato a 2 años (Cinthia)</t>
        </is>
      </c>
    </row>
    <row r="10">
      <c r="A10" s="10" t="inlineStr">
        <is>
          <t>Costo seguro de caución</t>
        </is>
      </c>
      <c r="B10" s="21" t="n">
        <v>0.06</v>
      </c>
      <c r="C10" s="19" t="inlineStr">
        <is>
          <t>% del total</t>
        </is>
      </c>
      <c r="D10" s="11" t="inlineStr">
        <is>
          <t>~6% del contrato, a cargo del inquilino (doc 05)</t>
        </is>
      </c>
    </row>
    <row r="12" ht="22" customHeight="1">
      <c r="A12" s="12" t="inlineStr">
        <is>
          <t>Escenarios de alquiler — ROI y all-in</t>
        </is>
      </c>
    </row>
    <row r="13" ht="26" customHeight="1">
      <c r="A13" s="13" t="inlineStr">
        <is>
          <t>Escenario</t>
        </is>
      </c>
      <c r="B13" s="13" t="inlineStr">
        <is>
          <t>Alquiler USD/mes</t>
        </is>
      </c>
      <c r="C13" s="13" t="inlineStr">
        <is>
          <t>Renta anual</t>
        </is>
      </c>
      <c r="D13" s="13" t="inlineStr">
        <is>
          <t>ROI @ val. baja</t>
        </is>
      </c>
      <c r="E13" s="13" t="inlineStr">
        <is>
          <t>ROI @ val. alta</t>
        </is>
      </c>
      <c r="F13" s="13" t="inlineStr">
        <is>
          <t>All-in inquilino</t>
        </is>
      </c>
    </row>
    <row r="14" ht="20" customHeight="1">
      <c r="A14" s="9" t="inlineStr">
        <is>
          <t>Lo que paga hoy Cinthia (aprox.)</t>
        </is>
      </c>
      <c r="B14" s="16" t="n">
        <v>2100</v>
      </c>
      <c r="C14" s="22">
        <f>B14*12</f>
        <v>25200</v>
      </c>
      <c r="D14" s="23">
        <f>C14/$B$5</f>
        <v>0.08129032258064516</v>
      </c>
      <c r="E14" s="23">
        <f>C14/$B$6</f>
        <v>0.072</v>
      </c>
      <c r="F14" s="22">
        <f>B14+$B$7+$B$8</f>
        <v>2550</v>
      </c>
    </row>
    <row r="15" ht="20" customHeight="1">
      <c r="A15" s="11" t="inlineStr">
        <is>
          <t>Contraparte 2.200</t>
        </is>
      </c>
      <c r="B15" s="18" t="n">
        <v>2200</v>
      </c>
      <c r="C15" s="24">
        <f>B15*12</f>
        <v>26400</v>
      </c>
      <c r="D15" s="25">
        <f>C15/$B$5</f>
        <v>0.08516129032258064</v>
      </c>
      <c r="E15" s="25">
        <f>C15/$B$6</f>
        <v>0.07542857142857143</v>
      </c>
      <c r="F15" s="24">
        <f>B15+$B$7+$B$8</f>
        <v>2650</v>
      </c>
    </row>
    <row r="16" ht="20" customHeight="1">
      <c r="A16" s="26" t="inlineStr">
        <is>
          <t>MI PISO (límite)</t>
        </is>
      </c>
      <c r="B16" s="27" t="n">
        <v>2400</v>
      </c>
      <c r="C16" s="28">
        <f>B16*12</f>
        <v>28800</v>
      </c>
      <c r="D16" s="29">
        <f>C16/$B$5</f>
        <v>0.09290322580645162</v>
      </c>
      <c r="E16" s="29">
        <f>C16/$B$6</f>
        <v>0.08228571428571428</v>
      </c>
      <c r="F16" s="28">
        <f>B16+$B$7+$B$8</f>
        <v>2850</v>
      </c>
    </row>
    <row r="17" ht="20" customHeight="1">
      <c r="A17" s="26" t="inlineStr">
        <is>
          <t>MI OFERTA</t>
        </is>
      </c>
      <c r="B17" s="27" t="n">
        <v>2500</v>
      </c>
      <c r="C17" s="28">
        <f>B17*12</f>
        <v>30000</v>
      </c>
      <c r="D17" s="29">
        <f>C17/$B$5</f>
        <v>0.0967741935483871</v>
      </c>
      <c r="E17" s="29">
        <f>C17/$B$6</f>
        <v>0.08571428571428572</v>
      </c>
      <c r="F17" s="28">
        <f>B17+$B$7+$B$8</f>
        <v>2950</v>
      </c>
    </row>
    <row r="18" ht="20" customHeight="1">
      <c r="A18" s="9" t="inlineStr">
        <is>
          <t>Ancla · Franco sin amoblar</t>
        </is>
      </c>
      <c r="B18" s="16" t="n">
        <v>2800</v>
      </c>
      <c r="C18" s="22">
        <f>B18*12</f>
        <v>33600</v>
      </c>
      <c r="D18" s="23">
        <f>C18/$B$5</f>
        <v>0.10838709677419354</v>
      </c>
      <c r="E18" s="23">
        <f>C18/$B$6</f>
        <v>0.096</v>
      </c>
      <c r="F18" s="22">
        <f>B18+$B$7+$B$8</f>
        <v>3250</v>
      </c>
    </row>
    <row r="19" ht="20" customHeight="1">
      <c r="A19" s="11" t="inlineStr">
        <is>
          <t>Franco · amoblado (mercado)</t>
        </is>
      </c>
      <c r="B19" s="18" t="n">
        <v>3100</v>
      </c>
      <c r="C19" s="24">
        <f>B19*12</f>
        <v>37200</v>
      </c>
      <c r="D19" s="25">
        <f>C19/$B$5</f>
        <v>0.12</v>
      </c>
      <c r="E19" s="25">
        <f>C19/$B$6</f>
        <v>0.10628571428571429</v>
      </c>
      <c r="F19" s="24">
        <f>B19+$B$7+$B$8</f>
        <v>3550</v>
      </c>
    </row>
    <row r="20">
      <c r="A20" s="2" t="inlineStr">
        <is>
          <t>El ROI de mercado tradicional es 4–6%. Incluso el escenario más conservador (2.400 @ 350k = 8,2%) queda muy por encima.</t>
        </is>
      </c>
    </row>
    <row r="22" ht="22" customHeight="1">
      <c r="A22" s="30" t="inlineStr">
        <is>
          <t>Costo del seguro de caución (a cargo del inquilino)</t>
        </is>
      </c>
    </row>
    <row r="23" ht="26" customHeight="1">
      <c r="A23" s="31" t="inlineStr">
        <is>
          <t>Concepto</t>
        </is>
      </c>
      <c r="B23" s="31" t="inlineStr">
        <is>
          <t>Valor</t>
        </is>
      </c>
      <c r="C23" s="31" t="inlineStr">
        <is>
          <t>Fórmula</t>
        </is>
      </c>
      <c r="D23" s="6" t="n"/>
      <c r="E23" s="6" t="n"/>
      <c r="F23" s="7" t="n"/>
    </row>
    <row r="24">
      <c r="A24" s="8" t="inlineStr">
        <is>
          <t>Alquiler de referencia</t>
        </is>
      </c>
      <c r="B24" s="16" t="n">
        <v>2500</v>
      </c>
      <c r="C24" s="9" t="inlineStr">
        <is>
          <t>input (usar tu número)</t>
        </is>
      </c>
    </row>
    <row r="25">
      <c r="A25" s="10" t="inlineStr">
        <is>
          <t>Total del contrato</t>
        </is>
      </c>
      <c r="B25" s="32">
        <f>B24*$B$9</f>
        <v>60000</v>
      </c>
      <c r="C25" s="11" t="inlineStr">
        <is>
          <t>alquiler × plazo (meses)</t>
        </is>
      </c>
    </row>
    <row r="26">
      <c r="A26" s="8" t="inlineStr">
        <is>
          <t>Seguro de caución (pago único)</t>
        </is>
      </c>
      <c r="B26" s="33">
        <f>B25*$B$10</f>
        <v>3600</v>
      </c>
      <c r="C26" s="9" t="inlineStr">
        <is>
          <t>total × % caución</t>
        </is>
      </c>
    </row>
    <row r="27">
      <c r="A27" s="2" t="inlineStr">
        <is>
          <t>≈ casi 1,5 meses de alquiler de una sola vez, además del depósito de 2 meses. Prepararlo con Cinthia como parte de la conversación, no como sorpresa (doc 05).</t>
        </is>
      </c>
    </row>
  </sheetData>
  <mergeCells count="18">
    <mergeCell ref="A2:F2"/>
    <mergeCell ref="D7:F7"/>
    <mergeCell ref="C23:F23"/>
    <mergeCell ref="D5:F5"/>
    <mergeCell ref="A20:F20"/>
    <mergeCell ref="A1:F1"/>
    <mergeCell ref="D4:F4"/>
    <mergeCell ref="C26:F26"/>
    <mergeCell ref="A27:F27"/>
    <mergeCell ref="D9:F9"/>
    <mergeCell ref="A22:F22"/>
    <mergeCell ref="A12:F12"/>
    <mergeCell ref="C25:F25"/>
    <mergeCell ref="C24:F24"/>
    <mergeCell ref="A3:F3"/>
    <mergeCell ref="D8:F8"/>
    <mergeCell ref="D6:F6"/>
    <mergeCell ref="D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12" customWidth="1" min="4" max="4"/>
  </cols>
  <sheetData>
    <row r="1" ht="30" customHeight="1">
      <c r="A1" s="1" t="inlineStr">
        <is>
          <t>Negociación · Cinthia (piso 15)</t>
        </is>
      </c>
    </row>
    <row r="2" ht="16" customHeight="1">
      <c r="A2" s="2" t="inlineStr">
        <is>
          <t>Prospecto directo, sin publicar. Estado: visita realizada 14-jul. En re-contacto para negociar cierre. Fuente: doc 04 y 05.</t>
        </is>
      </c>
    </row>
    <row r="3" ht="22" customHeight="1">
      <c r="A3" s="3" t="inlineStr">
        <is>
          <t>Perfil y por qué es buena oportunidad</t>
        </is>
      </c>
    </row>
    <row r="4" ht="28" customHeight="1">
      <c r="A4" s="34" t="inlineStr">
        <is>
          <t>•  Madre de una compañera de mi sobrina; vive hace 25 años en el edificio. Seria, profesional.</t>
        </is>
      </c>
    </row>
    <row r="5" ht="28" customHeight="1">
      <c r="A5" s="4" t="inlineStr">
        <is>
          <t>•  Tiene depto propio en el piso 11; hoy alquila el piso 15 (más grande pero en peor estado). Quiere achicarse.</t>
        </is>
      </c>
    </row>
    <row r="6" ht="28" customHeight="1">
      <c r="A6" s="34" t="inlineStr">
        <is>
          <t>•  Paga hoy AR$ 3.200.000/mes (≈ US$ 2.100–2.200) por el 15; ella misma cree que paga de más.</t>
        </is>
      </c>
    </row>
    <row r="7" ht="28" customHeight="1">
      <c r="A7" s="4" t="inlineStr">
        <is>
          <t>•  Su contrato del 15 vence fin de agosto 2026; yo me voy el 25-ago. Timing casi perfecto.</t>
        </is>
      </c>
    </row>
    <row r="8" ht="28" customHeight="1">
      <c r="A8" s="34" t="inlineStr">
        <is>
          <t>•  Busca contrato de 2 años (la hija termina el colegio de al lado). El plazo 2 años también me conviene: menos incertidumbre de administrar a distancia.</t>
        </is>
      </c>
    </row>
    <row r="9" ht="28" customHeight="1">
      <c r="A9" s="4" t="inlineStr">
        <is>
          <t>•  Perfil vivienda permanente → mantiene la exención de Ganancias de mamá (Decreto 406/2026).</t>
        </is>
      </c>
    </row>
    <row r="10" ht="28" customHeight="1">
      <c r="A10" s="34" t="inlineStr">
        <is>
          <t>•  Muebles resueltos sin fricción: elige lo que le sirve; el resto lo guardan mi hermana/cuñada, sin costo mío.</t>
        </is>
      </c>
    </row>
    <row r="11" ht="28" customHeight="1">
      <c r="A11" s="4" t="inlineStr">
        <is>
          <t>•  Confirmó de primera mano que el piso 15 «no está en buenas condiciones» → más leverage: mi unidad está objetivamente mejor.</t>
        </is>
      </c>
    </row>
    <row r="13" ht="22" customHeight="1">
      <c r="A13" s="12" t="inlineStr">
        <is>
          <t>Estrategia de precio: Ancla → Oferta → Piso</t>
        </is>
      </c>
    </row>
    <row r="14" ht="26" customHeight="1">
      <c r="A14" s="13" t="inlineStr"/>
      <c r="B14" s="13" t="inlineStr">
        <is>
          <t>Número (USD/mes)</t>
        </is>
      </c>
      <c r="C14" s="13" t="inlineStr">
        <is>
          <t>Rol</t>
        </is>
      </c>
      <c r="D14" s="13" t="inlineStr">
        <is>
          <t>Guion / racional</t>
        </is>
      </c>
    </row>
    <row r="15" ht="34" customHeight="1">
      <c r="A15" s="35" t="inlineStr">
        <is>
          <t>Ancla</t>
        </is>
      </c>
      <c r="B15" s="36" t="inlineStr">
        <is>
          <t>2.800</t>
        </is>
      </c>
      <c r="C15" s="37" t="inlineStr">
        <is>
          <t>Tasación de Franco (sin amoblar de su propia tabla, no invento)</t>
        </is>
      </c>
      <c r="D15" s="38" t="inlineStr"/>
    </row>
    <row r="16" ht="34" customHeight="1">
      <c r="A16" s="39" t="inlineStr">
        <is>
          <t>Mi oferta</t>
        </is>
      </c>
      <c r="B16" s="40" t="inlineStr">
        <is>
          <t>2.500</t>
        </is>
      </c>
      <c r="C16" s="41" t="inlineStr">
        <is>
          <t>Lo que propongo activamente, como concesión por el vínculo — no apertura de regateo</t>
        </is>
      </c>
      <c r="D16" s="42" t="inlineStr"/>
    </row>
    <row r="17" ht="34" customHeight="1">
      <c r="A17" s="43" t="inlineStr">
        <is>
          <t>Mi piso real</t>
        </is>
      </c>
      <c r="B17" s="44" t="inlineStr">
        <is>
          <t>2.400</t>
        </is>
      </c>
      <c r="C17" s="45" t="inlineStr">
        <is>
          <t>Límite si empuja más; se cede solo si hace falta (no decirlo en voz alta)</t>
        </is>
      </c>
      <c r="D17" s="46" t="inlineStr"/>
    </row>
    <row r="18" ht="30" customHeight="1">
      <c r="A18" s="2" t="inlineStr">
        <is>
          <t>Por qué NO abrir en 2.400: ya mencioné «3.000» en la primera visita. Abrir bajo regala un ancla nueva sin margen. Reafirmar 2.800 (dato de Franco) y ofrecer 2.500 como mi propuesta concreta.</t>
        </is>
      </c>
    </row>
    <row r="20" ht="22" customHeight="1">
      <c r="A20" s="3" t="inlineStr">
        <is>
          <t>Guion de re-contacto (5 pasos)</t>
        </is>
      </c>
    </row>
    <row r="21" ht="30" customHeight="1">
      <c r="A21" s="34" t="inlineStr">
        <is>
          <t>1. Reafirmar el número objetivo: «la tasación profesional, incluso sin amueblar, da 2.800».</t>
        </is>
      </c>
    </row>
    <row r="22" ht="30" customHeight="1">
      <c r="A22" s="4" t="inlineStr">
        <is>
          <t>2. Reconocer la brecha: «pasar a 2.100–2.200 es mucho para mí — es literalmente con lo que voy a vivir durante el MBA».</t>
        </is>
      </c>
    </row>
    <row r="23" ht="30" customHeight="1">
      <c r="A23" s="34" t="inlineStr">
        <is>
          <t>3. Ofrecer el número real: 2.500, marcándolo como el esfuerzo que hago por la confianza y el vínculo.</t>
        </is>
      </c>
    </row>
    <row r="24" ht="30" customHeight="1">
      <c r="A24" s="4" t="inlineStr">
        <is>
          <t>4. Argumento de valor (su propia info): «vos misma sentís que pagás de más por algo grande pero no tan cuidado; lo mío es más chico pero otra categoría de estado».</t>
        </is>
      </c>
    </row>
    <row r="25" ht="30" customHeight="1">
      <c r="A25" s="34" t="inlineStr">
        <is>
          <t>5. Si empuja, ceder hasta 2.400 como límite, remarcando que es el mínimo por el objetivo (MBA).</t>
        </is>
      </c>
    </row>
    <row r="27" ht="22" customHeight="1">
      <c r="A27" s="30" t="inlineStr">
        <is>
          <t>Condiciones a cerrar en el contrato</t>
        </is>
      </c>
    </row>
    <row r="28" ht="26" customHeight="1">
      <c r="A28" s="31" t="inlineStr">
        <is>
          <t>Punto</t>
        </is>
      </c>
      <c r="B28" s="31" t="inlineStr">
        <is>
          <t>Definición</t>
        </is>
      </c>
      <c r="C28" s="6" t="n"/>
      <c r="D28" s="7" t="n"/>
    </row>
    <row r="29">
      <c r="A29" s="8" t="inlineStr">
        <is>
          <t>Plazo</t>
        </is>
      </c>
      <c r="B29" s="9" t="inlineStr">
        <is>
          <t>2 años, inicio ~fin ago / mi salida 25-ago</t>
        </is>
      </c>
    </row>
    <row r="30">
      <c r="A30" s="10" t="inlineStr">
        <is>
          <t>Moneda</t>
        </is>
      </c>
      <c r="B30" s="11" t="inlineStr">
        <is>
          <t>USD</t>
        </is>
      </c>
    </row>
    <row r="31">
      <c r="A31" s="8" t="inlineStr">
        <is>
          <t>Ajuste</t>
        </is>
      </c>
      <c r="B31" s="9" t="inlineStr">
        <is>
          <t>Anual chico 3–5% al cumplir el año (NO trimestral IPC, que es para pesos)</t>
        </is>
      </c>
    </row>
    <row r="32">
      <c r="A32" s="10" t="inlineStr">
        <is>
          <t>Destino</t>
        </is>
      </c>
      <c r="B32" s="11" t="inlineStr">
        <is>
          <t>Vivienda permanente (casa-habitación) → exención Ganancias mamá</t>
        </is>
      </c>
    </row>
    <row r="33">
      <c r="A33" s="8" t="inlineStr">
        <is>
          <t>Servicios</t>
        </is>
      </c>
      <c r="B33" s="9" t="inlineStr">
        <is>
          <t>Expensas + ABL + servicios a cargo de ella</t>
        </is>
      </c>
    </row>
    <row r="34">
      <c r="A34" s="10" t="inlineStr">
        <is>
          <t>Depósito</t>
        </is>
      </c>
      <c r="B34" s="11" t="inlineStr">
        <is>
          <t>2 meses</t>
        </is>
      </c>
    </row>
    <row r="35">
      <c r="A35" s="8" t="inlineStr">
        <is>
          <t>Garantía</t>
        </is>
      </c>
      <c r="B35" s="9" t="inlineStr">
        <is>
          <t>Seguro de caución (~6% del contrato, a su cargo) — encuadrado como protección mutua, no desconfianza</t>
        </is>
      </c>
    </row>
    <row r="36">
      <c r="A36" s="10" t="inlineStr">
        <is>
          <t>Muebles</t>
        </is>
      </c>
      <c r="B36" s="11" t="inlineStr">
        <is>
          <t>Coordinar visita de selección: qué queda, qué va a lo de hermana/cuñada</t>
        </is>
      </c>
    </row>
    <row r="37">
      <c r="A37" s="8" t="inlineStr">
        <is>
          <t>Cobro</t>
        </is>
      </c>
      <c r="B37" s="9" t="inlineStr">
        <is>
          <t>Definir circuito de pago estando yo en UK (ver Checklist / doc 03)</t>
        </is>
      </c>
    </row>
    <row r="38">
      <c r="A38" s="10" t="inlineStr">
        <is>
          <t>Fee Franco</t>
        </is>
      </c>
      <c r="B38" s="11" t="inlineStr">
        <is>
          <t>Evaluar fee reducido por trato directo (solo contrato + inventario)</t>
        </is>
      </c>
    </row>
  </sheetData>
  <mergeCells count="31">
    <mergeCell ref="A5:D5"/>
    <mergeCell ref="A23:D23"/>
    <mergeCell ref="A8:D8"/>
    <mergeCell ref="A22:D22"/>
    <mergeCell ref="A4:D4"/>
    <mergeCell ref="A20:D20"/>
    <mergeCell ref="B29:D29"/>
    <mergeCell ref="A10:D10"/>
    <mergeCell ref="B38:D38"/>
    <mergeCell ref="A13:D13"/>
    <mergeCell ref="B34:D34"/>
    <mergeCell ref="B28:D28"/>
    <mergeCell ref="A9:D9"/>
    <mergeCell ref="B37:D37"/>
    <mergeCell ref="A24:D24"/>
    <mergeCell ref="B30:D30"/>
    <mergeCell ref="A11:D11"/>
    <mergeCell ref="B33:D33"/>
    <mergeCell ref="A1:D1"/>
    <mergeCell ref="B36:D36"/>
    <mergeCell ref="A6:D6"/>
    <mergeCell ref="B32:D32"/>
    <mergeCell ref="B35:D35"/>
    <mergeCell ref="A7:D7"/>
    <mergeCell ref="A25:D25"/>
    <mergeCell ref="A18:D18"/>
    <mergeCell ref="A27:D27"/>
    <mergeCell ref="B31:D31"/>
    <mergeCell ref="A3:D3"/>
    <mergeCell ref="A21:D2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14" customWidth="1" min="4" max="4"/>
  </cols>
  <sheetData>
    <row r="1" ht="30" customHeight="1">
      <c r="A1" s="1" t="inlineStr">
        <is>
          <t>Comparables de precio</t>
        </is>
      </c>
    </row>
    <row r="2" ht="16" customHeight="1">
      <c r="A2" s="2" t="inlineStr">
        <is>
          <t>Triangulación de referencias para defender la franja de alquiler. Fuente: doc 04.</t>
        </is>
      </c>
    </row>
    <row r="3" ht="22" customHeight="1">
      <c r="A3" s="3" t="inlineStr">
        <is>
          <t>Triangulación de comparables</t>
        </is>
      </c>
    </row>
    <row r="4" ht="26" customHeight="1">
      <c r="A4" s="5" t="inlineStr">
        <is>
          <t>Referencia</t>
        </is>
      </c>
      <c r="B4" s="5" t="inlineStr">
        <is>
          <t>Tamaño / estado</t>
        </is>
      </c>
      <c r="C4" s="5" t="inlineStr">
        <is>
          <t>USD/mes</t>
        </is>
      </c>
      <c r="D4" s="5" t="inlineStr">
        <is>
          <t>Base</t>
        </is>
      </c>
    </row>
    <row r="5">
      <c r="A5" s="8" t="inlineStr">
        <is>
          <t>Toyota (corporativo, ajustado)</t>
        </is>
      </c>
      <c r="B5" s="9" t="inlineStr">
        <is>
          <t>mayor, c/ cuarto de servicio</t>
        </is>
      </c>
      <c r="C5" s="47" t="inlineStr">
        <is>
          <t>~2.900–3.000</t>
        </is>
      </c>
      <c r="D5" s="17" t="inlineStr">
        <is>
          <t>solo alquiler</t>
        </is>
      </c>
    </row>
    <row r="6">
      <c r="A6" s="10" t="inlineStr">
        <is>
          <t>Franco (tasación amoblado)</t>
        </is>
      </c>
      <c r="B6" s="11" t="inlineStr">
        <is>
          <t>111 m²</t>
        </is>
      </c>
      <c r="C6" s="48" t="inlineStr">
        <is>
          <t>3.000–3.100</t>
        </is>
      </c>
      <c r="D6" s="19" t="inlineStr">
        <is>
          <t>+ expensas</t>
        </is>
      </c>
    </row>
    <row r="7">
      <c r="A7" s="8" t="inlineStr">
        <is>
          <t>Hermano (misma cuadra)</t>
        </is>
      </c>
      <c r="B7" s="9" t="inlineStr">
        <is>
          <t>80 m², sin amoblar</t>
        </is>
      </c>
      <c r="C7" s="47" t="inlineStr">
        <is>
          <t>2.100 (= 26 USD/m²)</t>
        </is>
      </c>
      <c r="D7" s="17" t="inlineStr">
        <is>
          <t>referencia</t>
        </is>
      </c>
    </row>
    <row r="8">
      <c r="A8" s="10" t="inlineStr">
        <is>
          <t>Mi depto @ 26 USD/m² sin amoblar</t>
        </is>
      </c>
      <c r="B8" s="11" t="inlineStr">
        <is>
          <t>111 m²</t>
        </is>
      </c>
      <c r="C8" s="48" t="inlineStr">
        <is>
          <t>~2.600–2.900</t>
        </is>
      </c>
      <c r="D8" s="19" t="inlineStr">
        <is>
          <t>referencia</t>
        </is>
      </c>
    </row>
    <row r="9" ht="20" customHeight="1">
      <c r="A9" s="49" t="inlineStr">
        <is>
          <t>Franja resultante: ~US$ 2.700–3.100 + expensas.</t>
        </is>
      </c>
    </row>
    <row r="11" ht="22" customHeight="1">
      <c r="A11" s="12" t="inlineStr">
        <is>
          <t>Benchmark Toyota (marzo → julio 2026)</t>
        </is>
      </c>
    </row>
    <row r="12" ht="26" customHeight="1">
      <c r="A12" s="13" t="inlineStr">
        <is>
          <t>Paso</t>
        </is>
      </c>
      <c r="B12" s="13" t="inlineStr">
        <is>
          <t>Valor</t>
        </is>
      </c>
      <c r="C12" s="6" t="n"/>
      <c r="D12" s="7" t="n"/>
    </row>
    <row r="13">
      <c r="A13" s="9" t="inlineStr">
        <is>
          <t>Paquete Toyota (marzo), incl. expensas+ABL</t>
        </is>
      </c>
      <c r="B13" s="8" t="inlineStr">
        <is>
          <t>AR$ 4.750.000</t>
        </is>
      </c>
    </row>
    <row r="14">
      <c r="A14" s="11" t="inlineStr">
        <is>
          <t>Ajuste IPC mar→jul (≈+7%)</t>
        </is>
      </c>
      <c r="B14" s="10" t="inlineStr">
        <is>
          <t>AR$ ≈ 5.080.000</t>
        </is>
      </c>
    </row>
    <row r="15">
      <c r="A15" s="9" t="inlineStr">
        <is>
          <t>A USD (÷ ~1.490 BNA venta)</t>
        </is>
      </c>
      <c r="B15" s="8" t="inlineStr">
        <is>
          <t>≈ US$ 3.410 all-in</t>
        </is>
      </c>
    </row>
    <row r="16">
      <c r="A16" s="11" t="inlineStr">
        <is>
          <t>− expensas + ABL (≈ US$ 450)</t>
        </is>
      </c>
      <c r="B16" s="10" t="inlineStr">
        <is>
          <t>≈ US$ 2.950 solo alquiler</t>
        </is>
      </c>
    </row>
    <row r="17" ht="28" customHeight="1">
      <c r="A17" s="2" t="inlineStr">
        <is>
          <t>•  El número de Toyota, limpio de expensas, equivale a ~US$ 2.900–3.000 de alquiler puro. Confirma la tasación de Franco.</t>
        </is>
      </c>
    </row>
    <row r="18" ht="28" customHeight="1">
      <c r="A18" s="2" t="inlineStr">
        <is>
          <t>•  Toyota es corporativo (paga premium) → techo para un particular. Sus unidades son mayores pero peor mantenidas; la mía es más chica pero impecable y amoblada a nuevo. Se compensan.</t>
        </is>
      </c>
    </row>
  </sheetData>
  <mergeCells count="12">
    <mergeCell ref="A1:D1"/>
    <mergeCell ref="A17:D17"/>
    <mergeCell ref="A9:D9"/>
    <mergeCell ref="A18:D18"/>
    <mergeCell ref="B14:D14"/>
    <mergeCell ref="B15:D15"/>
    <mergeCell ref="A3:D3"/>
    <mergeCell ref="B13:D13"/>
    <mergeCell ref="A2:D2"/>
    <mergeCell ref="A11:D11"/>
    <mergeCell ref="B12:D12"/>
    <mergeCell ref="B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1" customWidth="1" min="3" max="3"/>
    <col width="11" customWidth="1" min="4" max="4"/>
    <col width="9" customWidth="1" min="5" max="5"/>
    <col width="26" customWidth="1" min="6" max="6"/>
  </cols>
  <sheetData>
    <row r="1" ht="30" customHeight="1">
      <c r="A1" s="1" t="inlineStr">
        <is>
          <t>Checklist de ejecución</t>
        </is>
      </c>
    </row>
    <row r="2" ht="16" customHeight="1">
      <c r="A2" s="2" t="inlineStr">
        <is>
          <t>Plan A–E. Columna «Estado»: Hecho / En curso / Pendiente. Editá libremente. Fuente: README §4 + docs 01–05.</t>
        </is>
      </c>
    </row>
    <row r="3" ht="26" customHeight="1">
      <c r="A3" s="5" t="inlineStr">
        <is>
          <t>Área</t>
        </is>
      </c>
      <c r="B3" s="5" t="inlineStr">
        <is>
          <t>Tarea</t>
        </is>
      </c>
      <c r="C3" s="5" t="inlineStr">
        <is>
          <t>Estado</t>
        </is>
      </c>
      <c r="D3" s="5" t="inlineStr">
        <is>
          <t>Prioridad</t>
        </is>
      </c>
      <c r="E3" s="5" t="inlineStr">
        <is>
          <t>Doc</t>
        </is>
      </c>
      <c r="F3" s="5" t="inlineStr">
        <is>
          <t>Notas</t>
        </is>
      </c>
    </row>
    <row r="4" ht="26" customHeight="1">
      <c r="A4" s="50" t="inlineStr">
        <is>
          <t>A · Legal/Impuestos</t>
        </is>
      </c>
      <c r="B4" s="51" t="inlineStr">
        <is>
          <t>Decidido: NO se constituye usufructo. Mamá propietaria/locadora + donaciones (Estructura A).</t>
        </is>
      </c>
      <c r="C4" s="52" t="inlineStr">
        <is>
          <t>Hecho</t>
        </is>
      </c>
      <c r="D4" s="53" t="inlineStr">
        <is>
          <t>Alta</t>
        </is>
      </c>
      <c r="E4" s="54" t="inlineStr">
        <is>
          <t>01</t>
        </is>
      </c>
      <c r="F4" s="51" t="inlineStr"/>
    </row>
    <row r="5" ht="26" customHeight="1">
      <c r="A5" s="55" t="inlineStr">
        <is>
          <t>A · Legal/Impuestos</t>
        </is>
      </c>
      <c r="B5" s="56" t="inlineStr">
        <is>
          <t>Confirmar con contador: exención 406/2026 sobre amoblado + ITGB donaciones + IIBB.</t>
        </is>
      </c>
      <c r="C5" s="57" t="inlineStr">
        <is>
          <t>Pendiente</t>
        </is>
      </c>
      <c r="D5" s="53" t="inlineStr">
        <is>
          <t>Alta</t>
        </is>
      </c>
      <c r="E5" s="58" t="inlineStr">
        <is>
          <t>01</t>
        </is>
      </c>
      <c r="F5" s="56" t="inlineStr">
        <is>
          <t>Plazo antes del 25-ago</t>
        </is>
      </c>
    </row>
    <row r="6" ht="26" customHeight="1">
      <c r="A6" s="50" t="inlineStr">
        <is>
          <t>A · Legal/Impuestos</t>
        </is>
      </c>
      <c r="B6" s="51" t="inlineStr">
        <is>
          <t>Escribano: pendientes de dominio (titularidad cochera/baulera, reglamento, libre deuda) + eventual poder de administración.</t>
        </is>
      </c>
      <c r="C6" s="57" t="inlineStr">
        <is>
          <t>Pendiente</t>
        </is>
      </c>
      <c r="D6" s="53" t="inlineStr">
        <is>
          <t>Alta</t>
        </is>
      </c>
      <c r="E6" s="54" t="inlineStr">
        <is>
          <t>01/03</t>
        </is>
      </c>
      <c r="F6" s="51" t="inlineStr"/>
    </row>
    <row r="7" ht="26" customHeight="1">
      <c r="A7" s="55" t="inlineStr">
        <is>
          <t>A · Legal/Impuestos</t>
        </is>
      </c>
      <c r="B7" s="56" t="inlineStr">
        <is>
          <t>Consulta con asesor fiscal UK (régimen FIG / tratamiento de los gifts).</t>
        </is>
      </c>
      <c r="C7" s="57" t="inlineStr">
        <is>
          <t>Pendiente</t>
        </is>
      </c>
      <c r="D7" s="59" t="inlineStr">
        <is>
          <t>Media</t>
        </is>
      </c>
      <c r="E7" s="58" t="inlineStr">
        <is>
          <t>01</t>
        </is>
      </c>
      <c r="F7" s="56" t="inlineStr"/>
    </row>
    <row r="8" ht="26" customHeight="1">
      <c r="A8" s="50" t="inlineStr">
        <is>
          <t>B · Precio</t>
        </is>
      </c>
      <c r="B8" s="51" t="inlineStr">
        <is>
          <t>Definir alquiler de salida: US$ 3.100/mes amoblado (all-in ~3.550).</t>
        </is>
      </c>
      <c r="C8" s="52" t="inlineStr">
        <is>
          <t>Hecho</t>
        </is>
      </c>
      <c r="D8" s="53" t="inlineStr">
        <is>
          <t>Alta</t>
        </is>
      </c>
      <c r="E8" s="54" t="inlineStr">
        <is>
          <t>README</t>
        </is>
      </c>
      <c r="F8" s="51" t="inlineStr">
        <is>
          <t>Cinthia: banda propia 2.400–2.500</t>
        </is>
      </c>
    </row>
    <row r="9" ht="26" customHeight="1">
      <c r="A9" s="55" t="inlineStr">
        <is>
          <t>B · Precio</t>
        </is>
      </c>
      <c r="B9" s="56" t="inlineStr">
        <is>
          <t>Confirmar boleta de ABL para cerrar el all-in real.</t>
        </is>
      </c>
      <c r="C9" s="57" t="inlineStr">
        <is>
          <t>Pendiente</t>
        </is>
      </c>
      <c r="D9" s="59" t="inlineStr">
        <is>
          <t>Media</t>
        </is>
      </c>
      <c r="E9" s="58" t="inlineStr">
        <is>
          <t>README</t>
        </is>
      </c>
      <c r="F9" s="56" t="inlineStr"/>
    </row>
    <row r="10" ht="26" customHeight="1">
      <c r="A10" s="50" t="inlineStr">
        <is>
          <t>B · Precio</t>
        </is>
      </c>
      <c r="B10" s="51" t="inlineStr">
        <is>
          <t>Definir depósito (2 meses), moneda (USD), plazo y cláusula de actualización.</t>
        </is>
      </c>
      <c r="C10" s="57" t="inlineStr">
        <is>
          <t>Pendiente</t>
        </is>
      </c>
      <c r="D10" s="53" t="inlineStr">
        <is>
          <t>Alta</t>
        </is>
      </c>
      <c r="E10" s="54" t="inlineStr">
        <is>
          <t>02</t>
        </is>
      </c>
      <c r="F10" s="51" t="inlineStr"/>
    </row>
    <row r="11" ht="26" customHeight="1">
      <c r="A11" s="55" t="inlineStr">
        <is>
          <t>C · Contrato</t>
        </is>
      </c>
      <c r="B11" s="56" t="inlineStr">
        <is>
          <t>Anexo de inventario detallado (muebles, electro, equipamiento) con estado y fotos.</t>
        </is>
      </c>
      <c r="C11" s="57" t="inlineStr">
        <is>
          <t>Pendiente</t>
        </is>
      </c>
      <c r="D11" s="53" t="inlineStr">
        <is>
          <t>Alta</t>
        </is>
      </c>
      <c r="E11" s="58" t="inlineStr">
        <is>
          <t>02</t>
        </is>
      </c>
      <c r="F11" s="56" t="inlineStr">
        <is>
          <t>Checklist por ambiente en doc 02</t>
        </is>
      </c>
    </row>
    <row r="12" ht="26" customHeight="1">
      <c r="A12" s="50" t="inlineStr">
        <is>
          <t>C · Contrato</t>
        </is>
      </c>
      <c r="B12" s="51" t="inlineStr">
        <is>
          <t>Video fechado de ingreso (y egreso) como respaldo de estado.</t>
        </is>
      </c>
      <c r="C12" s="57" t="inlineStr">
        <is>
          <t>Pendiente</t>
        </is>
      </c>
      <c r="D12" s="59" t="inlineStr">
        <is>
          <t>Media</t>
        </is>
      </c>
      <c r="E12" s="54" t="inlineStr">
        <is>
          <t>02</t>
        </is>
      </c>
      <c r="F12" s="51" t="inlineStr">
        <is>
          <t>Franco lo produce</t>
        </is>
      </c>
    </row>
    <row r="13" ht="26" customHeight="1">
      <c r="A13" s="55" t="inlineStr">
        <is>
          <t>C · Contrato</t>
        </is>
      </c>
      <c r="B13" s="56" t="inlineStr">
        <is>
          <t>Depósito de 2 meses, reintegrable salvo roturas/faltantes (excluido desgaste normal).</t>
        </is>
      </c>
      <c r="C13" s="57" t="inlineStr">
        <is>
          <t>Pendiente</t>
        </is>
      </c>
      <c r="D13" s="53" t="inlineStr">
        <is>
          <t>Alta</t>
        </is>
      </c>
      <c r="E13" s="58" t="inlineStr">
        <is>
          <t>02</t>
        </is>
      </c>
      <c r="F13" s="56" t="inlineStr"/>
    </row>
    <row r="14" ht="26" customHeight="1">
      <c r="A14" s="50" t="inlineStr">
        <is>
          <t>C · Contrato</t>
        </is>
      </c>
      <c r="B14" s="51" t="inlineStr">
        <is>
          <t>Garantía: seguro de caución (o garantía propietaria) además del depósito.</t>
        </is>
      </c>
      <c r="C14" s="57" t="inlineStr">
        <is>
          <t>Pendiente</t>
        </is>
      </c>
      <c r="D14" s="53" t="inlineStr">
        <is>
          <t>Alta</t>
        </is>
      </c>
      <c r="E14" s="54" t="inlineStr">
        <is>
          <t>02/05</t>
        </is>
      </c>
      <c r="F14" s="51" t="inlineStr">
        <is>
          <t>~6% del contrato, a cargo del inquilino</t>
        </is>
      </c>
    </row>
    <row r="15" ht="26" customHeight="1">
      <c r="A15" s="55" t="inlineStr">
        <is>
          <t>C · Contrato</t>
        </is>
      </c>
      <c r="B15" s="56" t="inlineStr">
        <is>
          <t>Definir en contrato quién paga expensas, ABL, AySA, luz, gas, internet (habitual: inquilino).</t>
        </is>
      </c>
      <c r="C15" s="57" t="inlineStr">
        <is>
          <t>Pendiente</t>
        </is>
      </c>
      <c r="D15" s="59" t="inlineStr">
        <is>
          <t>Media</t>
        </is>
      </c>
      <c r="E15" s="58" t="inlineStr">
        <is>
          <t>02</t>
        </is>
      </c>
      <c r="F15" s="56" t="inlineStr"/>
    </row>
    <row r="16" ht="26" customHeight="1">
      <c r="A16" s="50" t="inlineStr">
        <is>
          <t>C · Contrato</t>
        </is>
      </c>
      <c r="B16" s="51" t="inlineStr">
        <is>
          <t>Seguro de hogar/contenido por los bienes.</t>
        </is>
      </c>
      <c r="C16" s="57" t="inlineStr">
        <is>
          <t>Pendiente</t>
        </is>
      </c>
      <c r="D16" s="59" t="inlineStr">
        <is>
          <t>Media</t>
        </is>
      </c>
      <c r="E16" s="54" t="inlineStr">
        <is>
          <t>02</t>
        </is>
      </c>
      <c r="F16" s="51" t="inlineStr"/>
    </row>
    <row r="17" ht="26" customHeight="1">
      <c r="A17" s="55" t="inlineStr">
        <is>
          <t>C · Contrato</t>
        </is>
      </c>
      <c r="B17" s="56" t="inlineStr">
        <is>
          <t>Contrato como «vivienda permanente» (no temporario) para no perder la exención.</t>
        </is>
      </c>
      <c r="C17" s="57" t="inlineStr">
        <is>
          <t>Pendiente</t>
        </is>
      </c>
      <c r="D17" s="53" t="inlineStr">
        <is>
          <t>Alta</t>
        </is>
      </c>
      <c r="E17" s="58" t="inlineStr">
        <is>
          <t>01/02</t>
        </is>
      </c>
      <c r="F17" s="56" t="inlineStr">
        <is>
          <t>Ata impuestos + contrato</t>
        </is>
      </c>
    </row>
    <row r="18" ht="26" customHeight="1">
      <c r="A18" s="50" t="inlineStr">
        <is>
          <t>D · Administración</t>
        </is>
      </c>
      <c r="B18" s="51" t="inlineStr">
        <is>
          <t>Decidir quién gestiona el inmueble en Argentina (Franco / familiar / poder).</t>
        </is>
      </c>
      <c r="C18" s="57" t="inlineStr">
        <is>
          <t>Pendiente</t>
        </is>
      </c>
      <c r="D18" s="53" t="inlineStr">
        <is>
          <t>Alta</t>
        </is>
      </c>
      <c r="E18" s="54" t="inlineStr">
        <is>
          <t>03</t>
        </is>
      </c>
      <c r="F18" s="51" t="inlineStr">
        <is>
          <t>Opciones A/B/C en doc 03</t>
        </is>
      </c>
    </row>
    <row r="19" ht="26" customHeight="1">
      <c r="A19" s="55" t="inlineStr">
        <is>
          <t>D · Administración</t>
        </is>
      </c>
      <c r="B19" s="56" t="inlineStr">
        <is>
          <t>Otorgar poder de administración ante escribano antes del 25-ago.</t>
        </is>
      </c>
      <c r="C19" s="57" t="inlineStr">
        <is>
          <t>Pendiente</t>
        </is>
      </c>
      <c r="D19" s="53" t="inlineStr">
        <is>
          <t>Alta</t>
        </is>
      </c>
      <c r="E19" s="58" t="inlineStr">
        <is>
          <t>03</t>
        </is>
      </c>
      <c r="F19" s="56" t="inlineStr"/>
    </row>
    <row r="20" ht="26" customHeight="1">
      <c r="A20" s="50" t="inlineStr">
        <is>
          <t>D · Administración</t>
        </is>
      </c>
      <c r="B20" s="51" t="inlineStr">
        <is>
          <t>Definir circuito de cobro y cómo llega la renta a UK; frecuencia y quién absorbe el costo.</t>
        </is>
      </c>
      <c r="C20" s="57" t="inlineStr">
        <is>
          <t>Pendiente</t>
        </is>
      </c>
      <c r="D20" s="53" t="inlineStr">
        <is>
          <t>Alta</t>
        </is>
      </c>
      <c r="E20" s="54" t="inlineStr">
        <is>
          <t>03</t>
        </is>
      </c>
      <c r="F20" s="51" t="inlineStr"/>
    </row>
    <row r="21" ht="26" customHeight="1">
      <c r="A21" s="55" t="inlineStr">
        <is>
          <t>D · Administración</t>
        </is>
      </c>
      <c r="B21" s="56" t="inlineStr">
        <is>
          <t>Fondo de reparaciones + pago de expensas/ABL + referente único para el inquilino + rendición mensual.</t>
        </is>
      </c>
      <c r="C21" s="57" t="inlineStr">
        <is>
          <t>Pendiente</t>
        </is>
      </c>
      <c r="D21" s="59" t="inlineStr">
        <is>
          <t>Media</t>
        </is>
      </c>
      <c r="E21" s="58" t="inlineStr">
        <is>
          <t>03</t>
        </is>
      </c>
      <c r="F21" s="56" t="inlineStr"/>
    </row>
    <row r="22" ht="26" customHeight="1">
      <c r="A22" s="50" t="inlineStr">
        <is>
          <t>E · Publicación</t>
        </is>
      </c>
      <c r="B22" s="51" t="inlineStr">
        <is>
          <t>Fotos profesionales por ambiente + amenities + cochera.</t>
        </is>
      </c>
      <c r="C22" s="52" t="inlineStr">
        <is>
          <t>Hecho</t>
        </is>
      </c>
      <c r="D22" s="59" t="inlineStr">
        <is>
          <t>Media</t>
        </is>
      </c>
      <c r="E22" s="54" t="inlineStr">
        <is>
          <t>README</t>
        </is>
      </c>
      <c r="F22" s="51" t="inlineStr"/>
    </row>
    <row r="23" ht="26" customHeight="1">
      <c r="A23" s="55" t="inlineStr">
        <is>
          <t>E · Publicación</t>
        </is>
      </c>
      <c r="B23" s="56" t="inlineStr">
        <is>
          <t>Video completo.</t>
        </is>
      </c>
      <c r="C23" s="52" t="inlineStr">
        <is>
          <t>Hecho</t>
        </is>
      </c>
      <c r="D23" s="59" t="inlineStr">
        <is>
          <t>Media</t>
        </is>
      </c>
      <c r="E23" s="58" t="inlineStr">
        <is>
          <t>README</t>
        </is>
      </c>
      <c r="F23" s="56" t="inlineStr"/>
    </row>
    <row r="24" ht="26" customHeight="1">
      <c r="A24" s="50" t="inlineStr">
        <is>
          <t>E · Publicación</t>
        </is>
      </c>
      <c r="B24" s="51" t="inlineStr">
        <is>
          <t>Firmar autorización de alquiler con GringoEstate.</t>
        </is>
      </c>
      <c r="C24" s="57" t="inlineStr">
        <is>
          <t>Pendiente</t>
        </is>
      </c>
      <c r="D24" s="59" t="inlineStr">
        <is>
          <t>Media</t>
        </is>
      </c>
      <c r="E24" s="54" t="inlineStr">
        <is>
          <t>05</t>
        </is>
      </c>
      <c r="F24" s="51" t="inlineStr"/>
    </row>
    <row r="25" ht="26" customHeight="1">
      <c r="A25" s="55" t="inlineStr">
        <is>
          <t>E · Publicación</t>
        </is>
      </c>
      <c r="B25" s="56" t="inlineStr">
        <is>
          <t>Decidir configuración del listado: amoblado completo / parcial / vacío.</t>
        </is>
      </c>
      <c r="C25" s="57" t="inlineStr">
        <is>
          <t>Pendiente</t>
        </is>
      </c>
      <c r="D25" s="59" t="inlineStr">
        <is>
          <t>Media</t>
        </is>
      </c>
      <c r="E25" s="58" t="inlineStr">
        <is>
          <t>05</t>
        </is>
      </c>
      <c r="F25" s="56" t="inlineStr">
        <is>
          <t>Define fotos y precio a publicar</t>
        </is>
      </c>
    </row>
    <row r="26" ht="26" customHeight="1">
      <c r="A26" s="50" t="inlineStr">
        <is>
          <t>E · Publicación</t>
        </is>
      </c>
      <c r="B26" s="51" t="inlineStr">
        <is>
          <t>Dar luz verde para publicar ya (fotos actuales) en paralelo a negociar con Cinthia.</t>
        </is>
      </c>
      <c r="C26" s="57" t="inlineStr">
        <is>
          <t>Pendiente</t>
        </is>
      </c>
      <c r="D26" s="59" t="inlineStr">
        <is>
          <t>Media</t>
        </is>
      </c>
      <c r="E26" s="54" t="inlineStr">
        <is>
          <t>05</t>
        </is>
      </c>
      <c r="F26" s="51" t="inlineStr">
        <is>
          <t>Zonaprop + portales de Franco</t>
        </is>
      </c>
    </row>
    <row r="27" ht="26" customHeight="1">
      <c r="A27" s="55" t="inlineStr">
        <is>
          <t>F · Franco</t>
        </is>
      </c>
      <c r="B27" s="56" t="inlineStr">
        <is>
          <t>Resolver quién muestra el depto a interesados después del 25-ago.</t>
        </is>
      </c>
      <c r="C27" s="57" t="inlineStr">
        <is>
          <t>Pendiente</t>
        </is>
      </c>
      <c r="D27" s="53" t="inlineStr">
        <is>
          <t>Alta</t>
        </is>
      </c>
      <c r="E27" s="58" t="inlineStr">
        <is>
          <t>05</t>
        </is>
      </c>
      <c r="F27" s="56" t="inlineStr">
        <is>
          <t>Cabo suelto operativo</t>
        </is>
      </c>
    </row>
    <row r="28" ht="26" customHeight="1">
      <c r="A28" s="50" t="inlineStr">
        <is>
          <t>F · Franco</t>
        </is>
      </c>
      <c r="B28" s="51" t="inlineStr">
        <is>
          <t>Confirmar fee: proponer medio mes fijo como honorarios, por escrito.</t>
        </is>
      </c>
      <c r="C28" s="57" t="inlineStr">
        <is>
          <t>Pendiente</t>
        </is>
      </c>
      <c r="D28" s="59" t="inlineStr">
        <is>
          <t>Media</t>
        </is>
      </c>
      <c r="E28" s="54" t="inlineStr">
        <is>
          <t>05</t>
        </is>
      </c>
      <c r="F28" s="51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4" customWidth="1" min="3" max="3"/>
  </cols>
  <sheetData>
    <row r="1" ht="30" customHeight="1">
      <c r="A1" s="1" t="inlineStr">
        <is>
          <t>Timeline hasta el vuelo (25-ago-2026)</t>
        </is>
      </c>
    </row>
    <row r="2" ht="16" customHeight="1">
      <c r="A2" s="2" t="inlineStr">
        <is>
          <t>Fuente: README §5.</t>
        </is>
      </c>
    </row>
    <row r="3" ht="26" customHeight="1">
      <c r="A3" s="5" t="inlineStr">
        <is>
          <t>Cuándo</t>
        </is>
      </c>
      <c r="B3" s="5" t="inlineStr">
        <is>
          <t>Qué</t>
        </is>
      </c>
      <c r="C3" s="5" t="inlineStr">
        <is>
          <t>Estado</t>
        </is>
      </c>
    </row>
    <row r="4" ht="24" customHeight="1">
      <c r="A4" s="47" t="inlineStr">
        <is>
          <t>Ya</t>
        </is>
      </c>
      <c r="B4" s="9" t="inlineStr">
        <is>
          <t>Escribano + contador (impuestos, dominio, poder). Arrancar YA.</t>
        </is>
      </c>
      <c r="C4" s="17" t="inlineStr">
        <is>
          <t>Pendiente</t>
        </is>
      </c>
    </row>
    <row r="5" ht="24" customHeight="1">
      <c r="A5" s="48" t="inlineStr">
        <is>
          <t>Ya</t>
        </is>
      </c>
      <c r="B5" s="11" t="inlineStr">
        <is>
          <t>Confirmar ABL y documentación pendiente (dominio, cochera, reglamento).</t>
        </is>
      </c>
      <c r="C5" s="17" t="inlineStr">
        <is>
          <t>Pendiente</t>
        </is>
      </c>
    </row>
    <row r="6" ht="24" customHeight="1">
      <c r="A6" s="47" t="inlineStr">
        <is>
          <t>Ya</t>
        </is>
      </c>
      <c r="B6" s="9" t="inlineStr">
        <is>
          <t>Recontactar a Cinthia con el guion de negociación.</t>
        </is>
      </c>
      <c r="C6" s="60" t="inlineStr">
        <is>
          <t>En curso</t>
        </is>
      </c>
    </row>
    <row r="7" ht="24" customHeight="1">
      <c r="A7" s="48" t="inlineStr">
        <is>
          <t>Próximas semanas</t>
        </is>
      </c>
      <c r="B7" s="11" t="inlineStr">
        <is>
          <t>Armar inventario + video, definir contrato tipo con Franco.</t>
        </is>
      </c>
      <c r="C7" s="17" t="inlineStr">
        <is>
          <t>Pendiente</t>
        </is>
      </c>
    </row>
    <row r="8" ht="24" customHeight="1">
      <c r="A8" s="47" t="inlineStr">
        <is>
          <t>Próximas semanas</t>
        </is>
      </c>
      <c r="B8" s="9" t="inlineStr">
        <is>
          <t>Publicar en paralelo (Zonaprop + portales de Franco).</t>
        </is>
      </c>
      <c r="C8" s="17" t="inlineStr">
        <is>
          <t>Pendiente</t>
        </is>
      </c>
    </row>
    <row r="9" ht="24" customHeight="1">
      <c r="A9" s="48" t="inlineStr">
        <is>
          <t>Antes del vuelo</t>
        </is>
      </c>
      <c r="B9" s="11" t="inlineStr">
        <is>
          <t>Dejar inquilino firmado, o campaña + administración andando.</t>
        </is>
      </c>
      <c r="C9" s="17" t="inlineStr">
        <is>
          <t>Pendiente</t>
        </is>
      </c>
    </row>
    <row r="10" ht="24" customHeight="1">
      <c r="A10" s="47" t="inlineStr">
        <is>
          <t>Antes del vuelo</t>
        </is>
      </c>
      <c r="B10" s="9" t="inlineStr">
        <is>
          <t>Poder de administración otorgado + circuito de cobro definido.</t>
        </is>
      </c>
      <c r="C10" s="17" t="inlineStr">
        <is>
          <t>Pendiente</t>
        </is>
      </c>
    </row>
    <row r="11" ht="24" customHeight="1">
      <c r="A11" s="48" t="inlineStr">
        <is>
          <t>Después del vuelo</t>
        </is>
      </c>
      <c r="B11" s="11" t="inlineStr">
        <is>
          <t>Administración a distancia gestiona; superviso desde Inglaterra.</t>
        </is>
      </c>
      <c r="C11" s="17" t="inlineStr">
        <is>
          <t>Pendiente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52" customWidth="1" min="3" max="3"/>
  </cols>
  <sheetData>
    <row r="1" ht="30" customHeight="1">
      <c r="A1" s="1" t="inlineStr">
        <is>
          <t>Honorarios de Franco</t>
        </is>
      </c>
    </row>
    <row r="2" ht="16" customHeight="1">
      <c r="A2" s="2" t="inlineStr">
        <is>
          <t>Fuente: doc 05 (audio 3).</t>
        </is>
      </c>
    </row>
    <row r="3" ht="26" customHeight="1">
      <c r="A3" s="5" t="inlineStr">
        <is>
          <t>Escenario</t>
        </is>
      </c>
      <c r="B3" s="5" t="inlineStr">
        <is>
          <t>Costo</t>
        </is>
      </c>
      <c r="C3" s="5" t="inlineStr">
        <is>
          <t>Nota</t>
        </is>
      </c>
    </row>
    <row r="4" ht="30" customHeight="1">
      <c r="A4" s="8" t="inlineStr">
        <is>
          <t>Estándar de la inmobiliaria asociada</t>
        </is>
      </c>
      <c r="B4" s="9" t="inlineStr">
        <is>
          <t>1,5 meses de alquiler</t>
        </is>
      </c>
      <c r="C4" s="9" t="inlineStr">
        <is>
          <t>Maneja todo: publicación, fotos, plano, difusión, preselección, informes, contrato, firma.</t>
        </is>
      </c>
    </row>
    <row r="5" ht="30" customHeight="1">
      <c r="A5" s="10" t="inlineStr">
        <is>
          <t>Lo que Franco NO cobraría (por amistad)</t>
        </is>
      </c>
      <c r="B5" s="11" t="inlineStr">
        <is>
          <t>0 directo</t>
        </is>
      </c>
      <c r="C5" s="11" t="inlineStr">
        <is>
          <t>Pero está asociado a la inmobiliaria; en «alquiler flex» normalmente cede la mitad.</t>
        </is>
      </c>
    </row>
    <row r="6" ht="30" customHeight="1">
      <c r="A6" s="8" t="inlineStr">
        <is>
          <t>Peor caso si se concreta contrato</t>
        </is>
      </c>
      <c r="B6" s="9" t="inlineStr">
        <is>
          <t>medio mes de alquiler total</t>
        </is>
      </c>
      <c r="C6" s="9" t="inlineStr">
        <is>
          <t>Muy por debajo del 1,5 mes estándar.</t>
        </is>
      </c>
    </row>
    <row r="7" ht="30" customHeight="1">
      <c r="A7" s="61" t="inlineStr">
        <is>
          <t>Mi propuesta (recomendada)</t>
        </is>
      </c>
      <c r="B7" s="41" t="inlineStr">
        <is>
          <t>medio mes fijo, por escrito</t>
        </is>
      </c>
      <c r="C7" s="41" t="inlineStr">
        <is>
          <t>Que no pierda plata de su bolsillo por el favor; dejarlo cerrado para evitar incomodidades.</t>
        </is>
      </c>
    </row>
    <row r="8" ht="30" customHeight="1">
      <c r="A8" s="8" t="inlineStr">
        <is>
          <t>Trato directo Cinthia</t>
        </is>
      </c>
      <c r="B8" s="9" t="inlineStr">
        <is>
          <t>fee reducido</t>
        </is>
      </c>
      <c r="C8" s="9" t="inlineStr">
        <is>
          <t>Solo por armar contrato + inventario, sin comisión de colocación completa.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6" customWidth="1" min="3" max="3"/>
  </cols>
  <sheetData>
    <row r="1" ht="30" customHeight="1">
      <c r="A1" s="1" t="inlineStr">
        <is>
          <t>Contactos</t>
        </is>
      </c>
    </row>
    <row r="2" ht="16" customHeight="1">
      <c r="A2" s="2" t="inlineStr">
        <is>
          <t>Fuente: README §7.</t>
        </is>
      </c>
    </row>
    <row r="3" ht="26" customHeight="1">
      <c r="A3" s="5" t="inlineStr">
        <is>
          <t>Rol</t>
        </is>
      </c>
      <c r="B3" s="5" t="inlineStr">
        <is>
          <t>Nombre</t>
        </is>
      </c>
      <c r="C3" s="5" t="inlineStr">
        <is>
          <t>Contacto</t>
        </is>
      </c>
    </row>
    <row r="4" ht="22" customHeight="1">
      <c r="A4" s="8" t="inlineStr">
        <is>
          <t>Broker inmobiliario</t>
        </is>
      </c>
      <c r="B4" s="9" t="inlineStr">
        <is>
          <t>Franco Garbini (GringoEstate / Baigún R&amp;N)</t>
        </is>
      </c>
      <c r="C4" s="9" t="inlineStr">
        <is>
          <t>WhatsApp +54 9 11 5610 6169 · gringoestate@gmail.com</t>
        </is>
      </c>
    </row>
    <row r="5" ht="22" customHeight="1">
      <c r="A5" s="10" t="inlineStr">
        <is>
          <t>Escribano</t>
        </is>
      </c>
      <c r="B5" s="11" t="inlineStr">
        <is>
          <t>por definir</t>
        </is>
      </c>
      <c r="C5" s="11" t="inlineStr"/>
    </row>
    <row r="6" ht="22" customHeight="1">
      <c r="A6" s="8" t="inlineStr">
        <is>
          <t>Contador</t>
        </is>
      </c>
      <c r="B6" s="9" t="inlineStr">
        <is>
          <t>por definir</t>
        </is>
      </c>
      <c r="C6" s="9" t="inlineStr"/>
    </row>
    <row r="7" ht="22" customHeight="1">
      <c r="A7" s="10" t="inlineStr">
        <is>
          <t>Asesor fiscal UK</t>
        </is>
      </c>
      <c r="B7" s="11" t="inlineStr">
        <is>
          <t>por definir</t>
        </is>
      </c>
      <c r="C7" s="11" t="inlineStr">
        <is>
          <t>Régimen FIG / tratamiento de gifts</t>
        </is>
      </c>
    </row>
    <row r="8" ht="22" customHeight="1">
      <c r="A8" s="8" t="inlineStr">
        <is>
          <t>Inquilina candidata</t>
        </is>
      </c>
      <c r="B8" s="9" t="inlineStr">
        <is>
          <t>Cinthia (piso 15, mismo edificio)</t>
        </is>
      </c>
      <c r="C8" s="9" t="inlineStr">
        <is>
          <t>Trato directo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30" customWidth="1" min="3" max="3"/>
  </cols>
  <sheetData>
    <row r="1" ht="30" customHeight="1">
      <c r="A1" s="1" t="inlineStr">
        <is>
          <t>Documentación disponible (Google Drive)</t>
        </is>
      </c>
    </row>
    <row r="2" ht="16" customHeight="1">
      <c r="A2" s="2" t="inlineStr">
        <is>
          <t>Carpeta raíz: «Rosales 2620 - Torre Jacarandá - 14 01». Fuente: README §6.</t>
        </is>
      </c>
    </row>
    <row r="3" ht="26" customHeight="1">
      <c r="A3" s="5" t="inlineStr">
        <is>
          <t>Carpeta</t>
        </is>
      </c>
      <c r="B3" s="5" t="inlineStr">
        <is>
          <t>Archivo / contenido</t>
        </is>
      </c>
      <c r="C3" s="5" t="inlineStr">
        <is>
          <t>Notas</t>
        </is>
      </c>
    </row>
    <row r="4" ht="26" customHeight="1">
      <c r="A4" s="8" t="inlineStr">
        <is>
          <t>Documentos</t>
        </is>
      </c>
      <c r="B4" s="9" t="inlineStr">
        <is>
          <t>Titulo Propiedad ROSALES 14-1.pdf</t>
        </is>
      </c>
      <c r="C4" s="9" t="inlineStr">
        <is>
          <t>Título de dominio</t>
        </is>
      </c>
    </row>
    <row r="5" ht="26" customHeight="1">
      <c r="A5" s="10" t="inlineStr">
        <is>
          <t>Documentos</t>
        </is>
      </c>
      <c r="B5" s="11" t="inlineStr">
        <is>
          <t>Expensas Abril.pdf</t>
        </is>
      </c>
      <c r="C5" s="11" t="inlineStr">
        <is>
          <t>Liquidación abr-2026</t>
        </is>
      </c>
    </row>
    <row r="6" ht="26" customHeight="1">
      <c r="A6" s="8" t="inlineStr">
        <is>
          <t>Documentos</t>
        </is>
      </c>
      <c r="B6" s="9" t="inlineStr">
        <is>
          <t>Dimensiones depto.png</t>
        </is>
      </c>
      <c r="C6" s="9" t="inlineStr"/>
    </row>
    <row r="7" ht="26" customHeight="1">
      <c r="A7" s="10" t="inlineStr">
        <is>
          <t>Documentos/Planos</t>
        </is>
      </c>
      <c r="B7" s="11" t="inlineStr">
        <is>
          <t>Planos Depto.pdf · Planos con m2.pdf</t>
        </is>
      </c>
      <c r="C7" s="11" t="inlineStr"/>
    </row>
    <row r="8" ht="26" customHeight="1">
      <c r="A8" s="8" t="inlineStr">
        <is>
          <t>Documentos/Reglamento</t>
        </is>
      </c>
      <c r="B8" s="9" t="inlineStr">
        <is>
          <t>Copropiedad 02-2000, Modificación 06-2000, Reglamento Interno 2000, Reglamento aprobado Asamblea 24-04-2018</t>
        </is>
      </c>
      <c r="C8" s="9" t="inlineStr">
        <is>
          <t>Para el escribano</t>
        </is>
      </c>
    </row>
    <row r="9" ht="26" customHeight="1">
      <c r="A9" s="10" t="inlineStr">
        <is>
          <t>Fotos y Videos</t>
        </is>
      </c>
      <c r="B9" s="11" t="inlineStr">
        <is>
          <t>~50 archivos por ambiente + Video_Completo.MOV</t>
        </is>
      </c>
      <c r="C9" s="11" t="inlineStr">
        <is>
          <t>Listo para publicar</t>
        </is>
      </c>
    </row>
    <row r="10" ht="26" customHeight="1">
      <c r="A10" s="8" t="inlineStr">
        <is>
          <t>Tasaciones</t>
        </is>
      </c>
      <c r="B10" s="9" t="inlineStr">
        <is>
          <t>Carpeta Tasacion (Alquiler amoblado).pdf</t>
        </is>
      </c>
      <c r="C10" s="9" t="inlineStr">
        <is>
          <t>Informe de Franco — alquiler</t>
        </is>
      </c>
    </row>
    <row r="11" ht="26" customHeight="1">
      <c r="A11" s="10" t="inlineStr">
        <is>
          <t>Tasaciones</t>
        </is>
      </c>
      <c r="B11" s="11" t="inlineStr">
        <is>
          <t>Carpeta Tasacion (Venta).pdf</t>
        </is>
      </c>
      <c r="C11" s="11" t="inlineStr">
        <is>
          <t>Informe de Franco — venta (plan B)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2026-07-20T23:36:04Z</dcterms:created>
  <dcterms:modified xsi:type="dcterms:W3CDTF">2026-07-20T23:36:04Z</dcterms:modified>
</cp:coreProperties>
</file>